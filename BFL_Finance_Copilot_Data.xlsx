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tatements" sheetId="1" state="visible" r:id="rId3"/>
    <sheet name="Budget Analysis" sheetId="2" state="visible" r:id="rId4"/>
    <sheet name="Expense Analysis" sheetId="3" state="visible" r:id="rId5"/>
    <sheet name="Financial Reporting" sheetId="4" state="visible" r:id="rId6"/>
    <sheet name="Financial Forecast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<sst xmlns="http://schemas.openxmlformats.org/spreadsheetml/2006/main" count="261" uniqueCount="192">
  <si>
    <t xml:space="preserve">Bajaj Finance Limited — Consolidated P&amp;L Statement</t>
  </si>
  <si>
    <t xml:space="preserve">Line Item</t>
  </si>
  <si>
    <t xml:space="preserve">Category</t>
  </si>
  <si>
    <t xml:space="preserve">Q1 FY26-27 (₹ Cr)</t>
  </si>
  <si>
    <t xml:space="preserve">Q2 FY26-27 (₹ Cr)</t>
  </si>
  <si>
    <t xml:space="preserve">Q3 FY26-27 (₹ Cr)</t>
  </si>
  <si>
    <t xml:space="preserve">Q4 FY26-27 (₹ Cr)</t>
  </si>
  <si>
    <t xml:space="preserve">FY26-27 Total (₹ Cr)</t>
  </si>
  <si>
    <t xml:space="preserve">Interest Income</t>
  </si>
  <si>
    <t xml:space="preserve">Revenue</t>
  </si>
  <si>
    <t xml:space="preserve">Fee &amp; Commission Income</t>
  </si>
  <si>
    <t xml:space="preserve">Other Operating Income</t>
  </si>
  <si>
    <t xml:space="preserve">Total Revenue</t>
  </si>
  <si>
    <t xml:space="preserve">Interest Expense</t>
  </si>
  <si>
    <t xml:space="preserve">Expenses</t>
  </si>
  <si>
    <t xml:space="preserve">Employee Costs</t>
  </si>
  <si>
    <t xml:space="preserve">Provision for NPA</t>
  </si>
  <si>
    <t xml:space="preserve">Operating Expenses</t>
  </si>
  <si>
    <t xml:space="preserve">Total Expenses</t>
  </si>
  <si>
    <t xml:space="preserve">EBITDA</t>
  </si>
  <si>
    <t xml:space="preserve">Profitability</t>
  </si>
  <si>
    <t xml:space="preserve">Depreciation &amp; Amortisation</t>
  </si>
  <si>
    <t xml:space="preserve">EBIT</t>
  </si>
  <si>
    <t xml:space="preserve">Tax Provision</t>
  </si>
  <si>
    <t xml:space="preserve">Net Profit After Tax (PAT)</t>
  </si>
  <si>
    <t xml:space="preserve">PAT Margin %</t>
  </si>
  <si>
    <t xml:space="preserve">Ratio</t>
  </si>
  <si>
    <t xml:space="preserve">Return on Assets (ROA) %</t>
  </si>
  <si>
    <t xml:space="preserve">Net Interest Margin (NIM) %</t>
  </si>
  <si>
    <t xml:space="preserve">Cost-to-Income Ratio</t>
  </si>
  <si>
    <t xml:space="preserve">Bajaj Finance Limited — Departmental Budget vs Actuals | FY 2026-27</t>
  </si>
  <si>
    <t xml:space="preserve">Department</t>
  </si>
  <si>
    <t xml:space="preserve">Cost Centre</t>
  </si>
  <si>
    <t xml:space="preserve">Annual Budget (₹ Cr)</t>
  </si>
  <si>
    <t xml:space="preserve">Q1 Budget</t>
  </si>
  <si>
    <t xml:space="preserve">Q1 Actuals</t>
  </si>
  <si>
    <t xml:space="preserve">Q2 Budget</t>
  </si>
  <si>
    <t xml:space="preserve">Q2 Actuals</t>
  </si>
  <si>
    <t xml:space="preserve">YTD Budget</t>
  </si>
  <si>
    <t xml:space="preserve">YTD Actuals</t>
  </si>
  <si>
    <t xml:space="preserve">YTD Variance (₹ Cr)</t>
  </si>
  <si>
    <t xml:space="preserve">Variance %</t>
  </si>
  <si>
    <t xml:space="preserve">Status</t>
  </si>
  <si>
    <t xml:space="preserve">Technology &amp; Digital</t>
  </si>
  <si>
    <t xml:space="preserve">CC-101</t>
  </si>
  <si>
    <t xml:space="preserve">🔴 Over Budget</t>
  </si>
  <si>
    <t xml:space="preserve">Collections &amp; Recovery</t>
  </si>
  <si>
    <t xml:space="preserve">CC-102</t>
  </si>
  <si>
    <t xml:space="preserve">🟢 On Track</t>
  </si>
  <si>
    <t xml:space="preserve">Sales &amp; Distribution</t>
  </si>
  <si>
    <t xml:space="preserve">CC-103</t>
  </si>
  <si>
    <t xml:space="preserve">Risk &amp; Compliance</t>
  </si>
  <si>
    <t xml:space="preserve">CC-104</t>
  </si>
  <si>
    <t xml:space="preserve">🟡 Under Budget</t>
  </si>
  <si>
    <t xml:space="preserve">Human Resources</t>
  </si>
  <si>
    <t xml:space="preserve">CC-105</t>
  </si>
  <si>
    <t xml:space="preserve">Finance &amp; Accounts</t>
  </si>
  <si>
    <t xml:space="preserve">CC-106</t>
  </si>
  <si>
    <t xml:space="preserve">Customer Experience</t>
  </si>
  <si>
    <t xml:space="preserve">CC-107</t>
  </si>
  <si>
    <t xml:space="preserve">Legal &amp; Secretarial</t>
  </si>
  <si>
    <t xml:space="preserve">CC-108</t>
  </si>
  <si>
    <t xml:space="preserve">Marketing &amp; Branding</t>
  </si>
  <si>
    <t xml:space="preserve">CC-109</t>
  </si>
  <si>
    <t xml:space="preserve">Operations &amp; Infra</t>
  </si>
  <si>
    <t xml:space="preserve">CC-110</t>
  </si>
  <si>
    <t xml:space="preserve">Product Management</t>
  </si>
  <si>
    <t xml:space="preserve">CC-111</t>
  </si>
  <si>
    <t xml:space="preserve">Internal Audit</t>
  </si>
  <si>
    <t xml:space="preserve">CC-112</t>
  </si>
  <si>
    <t xml:space="preserve">TOTAL</t>
  </si>
  <si>
    <t xml:space="preserve">Bajaj Finance Limited — Monthly Expense Trend &amp; Category Analysis | FY 2026-27</t>
  </si>
  <si>
    <t xml:space="preserve">Expense Category</t>
  </si>
  <si>
    <t xml:space="preserve">Type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</si>
  <si>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</si>
  <si>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</si>
  <si>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</si>
  <si>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</si>
  <si>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</si>
  <si>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</si>
  <si>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H1 Total (₹ Cr)</t>
  </si>
  <si>
    <t xml:space="preserve">MoM Change %</t>
  </si>
  <si>
    <t xml:space="preserve">% of Total Spend</t>
  </si>
  <si>
    <t xml:space="preserve">Staff Costs — Salary</t>
  </si>
  <si>
    <t xml:space="preserve">Fixed</t>
  </si>
  <si>
    <t xml:space="preserve">Staff Costs — Incentives</t>
  </si>
  <si>
    <t xml:space="preserve">Variable</t>
  </si>
  <si>
    <t xml:space="preserve">Technology &amp; IT Infrastructure</t>
  </si>
  <si>
    <t xml:space="preserve">Cloud &amp; SaaS Licenses</t>
  </si>
  <si>
    <t xml:space="preserve">Marketing &amp; Advertising</t>
  </si>
  <si>
    <t xml:space="preserve">Collections — Agency Costs</t>
  </si>
  <si>
    <t xml:space="preserve">Office &amp; Facility Management</t>
  </si>
  <si>
    <t xml:space="preserve">Travel &amp; Business Expenses</t>
  </si>
  <si>
    <t xml:space="preserve">Training &amp; Development</t>
  </si>
  <si>
    <t xml:space="preserve">Legal &amp; Compliance</t>
  </si>
  <si>
    <t xml:space="preserve">Customer Acquisition Cost</t>
  </si>
  <si>
    <t xml:space="preserve">Depreciation</t>
  </si>
  <si>
    <t xml:space="preserve">Audit &amp; Consulting Fees</t>
  </si>
  <si>
    <t xml:space="preserve">Miscellaneous / Other</t>
  </si>
  <si>
    <t xml:space="preserve">TOTAL MONTHLY SPEND</t>
  </si>
  <si>
    <t xml:space="preserve">100.0%</t>
  </si>
  <si>
    <t xml:space="preserve">Bajaj Finance Limited — Monthly Financial Performance Dashboard | FY 2026-27</t>
  </si>
  <si>
    <t xml:space="preserve">KPI / Metric</t>
  </si>
  <si>
    <t xml:space="preserve">Unit</t>
  </si>
  <si>
    <t xml:space="preserve">H1 Avg / Total</t>
  </si>
  <si>
    <t xml:space="preserve">Target H1</t>
  </si>
  <si>
    <t xml:space="preserve">vs Target</t>
  </si>
  <si>
    <t xml:space="preserve">Total Disbursements</t>
  </si>
  <si>
    <t xml:space="preserve">₹ Cr</t>
  </si>
  <si>
    <t xml:space="preserve">AUM (Assets Under Mgmt)</t>
  </si>
  <si>
    <t xml:space="preserve">Gross NPA %</t>
  </si>
  <si>
    <t xml:space="preserve">%</t>
  </si>
  <si>
    <t xml:space="preserve">Net NPA %</t>
  </si>
  <si>
    <t xml:space="preserve">Net Interest Income (NII)</t>
  </si>
  <si>
    <t xml:space="preserve">Net Profit After Tax</t>
  </si>
  <si>
    <t xml:space="preserve">PAT Margin</t>
  </si>
  <si>
    <t xml:space="preserve">Capital Adequacy Ratio (CAR)</t>
  </si>
  <si>
    <t xml:space="preserve">Cost of Funds</t>
  </si>
  <si>
    <t xml:space="preserve">Net Interest Margin (NIM)</t>
  </si>
  <si>
    <t xml:space="preserve">New Customer Acquisitions</t>
  </si>
  <si>
    <t xml:space="preserve">Count</t>
  </si>
  <si>
    <t xml:space="preserve">Customer Retention Rate</t>
  </si>
  <si>
    <t xml:space="preserve">Loan Book Growth YoY</t>
  </si>
  <si>
    <t xml:space="preserve">Collection Efficiency</t>
  </si>
  <si>
    <t xml:space="preserve">Bajaj Finance Limited — FY 2026-27 Financial Forecast &amp; Scenario Planning</t>
  </si>
  <si>
    <t xml:space="preserve">📋 FORECAST ASSUMPTIONS</t>
  </si>
  <si>
    <t xml:space="preserve">Parameter</t>
  </si>
  <si>
    <t xml:space="preserve">FY25-26 Actual</t>
  </si>
  <si>
    <t xml:space="preserve">Base Case</t>
  </si>
  <si>
    <t xml:space="preserve">Bull Case</t>
  </si>
  <si>
    <t xml:space="preserve">Bear Case</t>
  </si>
  <si>
    <t xml:space="preserve">Driver</t>
  </si>
  <si>
    <t xml:space="preserve">AUM Growth Rate</t>
  </si>
  <si>
    <t xml:space="preserve">28%</t>
  </si>
  <si>
    <t xml:space="preserve">30%</t>
  </si>
  <si>
    <t xml:space="preserve">35%</t>
  </si>
  <si>
    <t xml:space="preserve">22%</t>
  </si>
  <si>
    <t xml:space="preserve">Credit demand + branch expansion</t>
  </si>
  <si>
    <t xml:space="preserve">Net Interest Margin</t>
  </si>
  <si>
    <t xml:space="preserve">10.1%</t>
  </si>
  <si>
    <t xml:space="preserve">10.5%</t>
  </si>
  <si>
    <t xml:space="preserve">11.2%</t>
  </si>
  <si>
    <t xml:space="preserve">9.6%</t>
  </si>
  <si>
    <t xml:space="preserve">Funding cost + lending rate mix</t>
  </si>
  <si>
    <t xml:space="preserve">Gross NPA Target</t>
  </si>
  <si>
    <t xml:space="preserve">1.52%</t>
  </si>
  <si>
    <t xml:space="preserve">1.35%</t>
  </si>
  <si>
    <t xml:space="preserve">1.10%</t>
  </si>
  <si>
    <t xml:space="preserve">1.75%</t>
  </si>
  <si>
    <t xml:space="preserve">Collection efficiency + macro</t>
  </si>
  <si>
    <t xml:space="preserve">34.8%</t>
  </si>
  <si>
    <t xml:space="preserve">33.0%</t>
  </si>
  <si>
    <t xml:space="preserve">31.0%</t>
  </si>
  <si>
    <t xml:space="preserve">36.0%</t>
  </si>
  <si>
    <t xml:space="preserve">Opex control + revenue scale</t>
  </si>
  <si>
    <t xml:space="preserve">New Customer Growth</t>
  </si>
  <si>
    <t xml:space="preserve">24%</t>
  </si>
  <si>
    <t xml:space="preserve">26%</t>
  </si>
  <si>
    <t xml:space="preserve">31%</t>
  </si>
  <si>
    <t xml:space="preserve">18%</t>
  </si>
  <si>
    <t xml:space="preserve">Digital acquisition + Tier-2/3</t>
  </si>
  <si>
    <t xml:space="preserve">Tax Rate</t>
  </si>
  <si>
    <t xml:space="preserve">25.2%</t>
  </si>
  <si>
    <t xml:space="preserve">25.0%</t>
  </si>
  <si>
    <t xml:space="preserve">25.5%</t>
  </si>
  <si>
    <t xml:space="preserve">Statutory + deferred tax</t>
  </si>
  <si>
    <t xml:space="preserve">Disbursement Growth</t>
  </si>
  <si>
    <t xml:space="preserve">29%</t>
  </si>
  <si>
    <t xml:space="preserve">34%</t>
  </si>
  <si>
    <t xml:space="preserve">20%</t>
  </si>
  <si>
    <t xml:space="preserve">Loan demand + risk appetite</t>
  </si>
  <si>
    <t xml:space="preserve">📊 PROJECTED ANNUAL P&amp;L — FY 2026-27 (₹ Crores)</t>
  </si>
  <si>
    <t xml:space="preserve">Metric</t>
  </si>
  <si>
    <t xml:space="preserve">FY25-26 Actual (₹ Cr)</t>
  </si>
  <si>
    <t xml:space="preserve">Base Case (₹ Cr)</t>
  </si>
  <si>
    <t xml:space="preserve">Bull Case (₹ Cr)</t>
  </si>
  <si>
    <t xml:space="preserve">Bear Case (₹ Cr)</t>
  </si>
  <si>
    <t xml:space="preserve">YoY Growth (Base)</t>
  </si>
  <si>
    <t xml:space="preserve">Confidence Level</t>
  </si>
  <si>
    <t xml:space="preserve">High</t>
  </si>
  <si>
    <t xml:space="preserve">Net Interest Income</t>
  </si>
  <si>
    <t xml:space="preserve">Total Operating Expenses</t>
  </si>
  <si>
    <t xml:space="preserve">Medium</t>
  </si>
  <si>
    <t xml:space="preserve">Low</t>
  </si>
  <si>
    <t xml:space="preserve">Profit Before Tax (PBT)</t>
  </si>
  <si>
    <t xml:space="preserve">17.4%</t>
  </si>
  <si>
    <t xml:space="preserve">18.6%</t>
  </si>
  <si>
    <t xml:space="preserve">20.2%</t>
  </si>
  <si>
    <t xml:space="preserve">16.6%</t>
  </si>
  <si>
    <t xml:space="preserve">—</t>
  </si>
  <si>
    <t xml:space="preserve">EPS (₹)</t>
  </si>
  <si>
    <t xml:space="preserve">Projected AUM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</si>
</sst>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0.00%"/>
    <numFmt numFmtId="168" formatCode="#,##0;\(#,##0\);\-"/>
    <numFmt numFmtId="169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EBF3FB"/>
        <bgColor rgb="FFF4F6F9"/>
      </patternFill>
    </fill>
    <fill>
      <patternFill patternType="solid">
        <fgColor rgb="FFD6E4F0"/>
        <bgColor rgb="FFE8EAF6"/>
      </patternFill>
    </fill>
    <fill>
      <patternFill patternType="solid">
        <fgColor rgb="FFFDECEA"/>
        <bgColor rgb="FFFFF3E0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3E0"/>
      </patternFill>
    </fill>
    <fill>
      <patternFill patternType="solid">
        <fgColor rgb="FFF9F9F9"/>
        <bgColor rgb="FFF4F6F9"/>
      </patternFill>
    </fill>
    <fill>
      <patternFill patternType="solid">
        <fgColor rgb="FFFFFFFF"/>
        <bgColor rgb="FFF9F9F9"/>
      </patternFill>
    </fill>
    <fill>
      <patternFill patternType="solid">
        <fgColor rgb="FFF4F6F9"/>
        <bgColor rgb="FFF9F9F9"/>
      </patternFill>
    </fill>
    <fill>
      <patternFill patternType="solid">
        <fgColor rgb="FFE8EAF6"/>
        <bgColor rgb="FFEBF3FB"/>
      </patternFill>
    </fill>
    <fill>
      <patternFill patternType="solid">
        <fgColor rgb="FFFFF3E0"/>
        <bgColor rgb="FFFFF8E1"/>
      </patternFill>
    </fill>
    <fill>
      <patternFill patternType="solid">
        <fgColor rgb="FF2E4057"/>
        <bgColor rgb="FF1F4E79"/>
      </patternFill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EAF6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0"/>
      <rgbColor rgb="FFFFF3E0"/>
      <rgbColor rgb="FFF4F6F9"/>
      <rgbColor rgb="FFF9F9F9"/>
      <rgbColor rgb="FFCC99FF"/>
      <rgbColor rgb="FFFDECEA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4" t="s">
        <v>9</v>
      </c>
      <c r="C3" s="5" t="n">
        <v>8420</v>
      </c>
      <c r="D3" s="5" t="n">
        <v>8790</v>
      </c>
      <c r="E3" s="5" t="n">
        <v>9100</v>
      </c>
      <c r="F3" s="5" t="n">
        <v>9450</v>
      </c>
      <c r="G3" s="6" t="n">
        <f aca="false">SUM(C3:F3)</f>
        <v>35760</v>
      </c>
    </row>
    <row r="4" customFormat="false" ht="15" hidden="false" customHeight="false" outlineLevel="0" collapsed="false">
      <c r="A4" s="3" t="s">
        <v>10</v>
      </c>
      <c r="B4" s="4" t="s">
        <v>9</v>
      </c>
      <c r="C4" s="5" t="n">
        <v>1280</v>
      </c>
      <c r="D4" s="5" t="n">
        <v>1350</v>
      </c>
      <c r="E4" s="5" t="n">
        <v>1420</v>
      </c>
      <c r="F4" s="5" t="n">
        <v>1510</v>
      </c>
      <c r="G4" s="6" t="n">
        <f aca="false">SUM(C4:F4)</f>
        <v>5560</v>
      </c>
    </row>
    <row r="5" customFormat="false" ht="15" hidden="false" customHeight="false" outlineLevel="0" collapsed="false">
      <c r="A5" s="3" t="s">
        <v>11</v>
      </c>
      <c r="B5" s="4" t="s">
        <v>9</v>
      </c>
      <c r="C5" s="5" t="n">
        <v>340</v>
      </c>
      <c r="D5" s="5" t="n">
        <v>360</v>
      </c>
      <c r="E5" s="5" t="n">
        <v>390</v>
      </c>
      <c r="F5" s="5" t="n">
        <v>420</v>
      </c>
      <c r="G5" s="6" t="n">
        <f aca="false">SUM(C5:F5)</f>
        <v>1510</v>
      </c>
    </row>
    <row r="6" customFormat="false" ht="15" hidden="false" customHeight="false" outlineLevel="0" collapsed="false">
      <c r="A6" s="7" t="s">
        <v>12</v>
      </c>
      <c r="B6" s="8" t="s">
        <v>9</v>
      </c>
      <c r="C6" s="9" t="n">
        <f aca="false">SUM(C3:C5)</f>
        <v>10040</v>
      </c>
      <c r="D6" s="9" t="n">
        <f aca="false">SUM(D3:D5)</f>
        <v>10500</v>
      </c>
      <c r="E6" s="9" t="n">
        <f aca="false">SUM(E3:E5)</f>
        <v>10910</v>
      </c>
      <c r="F6" s="9" t="n">
        <f aca="false">SUM(F3:F5)</f>
        <v>11380</v>
      </c>
      <c r="G6" s="9" t="n">
        <f aca="false">SUM(C6:F6)</f>
        <v>42830</v>
      </c>
    </row>
    <row r="7" customFormat="false" ht="15" hidden="false" customHeight="false" outlineLevel="0" collapsed="false">
      <c r="A7" s="10" t="s">
        <v>13</v>
      </c>
      <c r="B7" s="11" t="s">
        <v>14</v>
      </c>
      <c r="C7" s="12" t="n">
        <v>3210</v>
      </c>
      <c r="D7" s="12" t="n">
        <v>3380</v>
      </c>
      <c r="E7" s="12" t="n">
        <v>3520</v>
      </c>
      <c r="F7" s="12" t="n">
        <v>3690</v>
      </c>
      <c r="G7" s="13" t="n">
        <f aca="false">SUM(C7:F7)</f>
        <v>13800</v>
      </c>
    </row>
    <row r="8" customFormat="false" ht="15" hidden="false" customHeight="false" outlineLevel="0" collapsed="false">
      <c r="A8" s="10" t="s">
        <v>15</v>
      </c>
      <c r="B8" s="11" t="s">
        <v>14</v>
      </c>
      <c r="C8" s="12" t="n">
        <v>1150</v>
      </c>
      <c r="D8" s="12" t="n">
        <v>1180</v>
      </c>
      <c r="E8" s="12" t="n">
        <v>1220</v>
      </c>
      <c r="F8" s="12" t="n">
        <v>1270</v>
      </c>
      <c r="G8" s="13" t="n">
        <f aca="false">SUM(C8:F8)</f>
        <v>4820</v>
      </c>
    </row>
    <row r="9" customFormat="false" ht="15" hidden="false" customHeight="false" outlineLevel="0" collapsed="false">
      <c r="A9" s="10" t="s">
        <v>16</v>
      </c>
      <c r="B9" s="11" t="s">
        <v>14</v>
      </c>
      <c r="C9" s="12" t="n">
        <v>620</v>
      </c>
      <c r="D9" s="12" t="n">
        <v>680</v>
      </c>
      <c r="E9" s="12" t="n">
        <v>710</v>
      </c>
      <c r="F9" s="12" t="n">
        <v>740</v>
      </c>
      <c r="G9" s="13" t="n">
        <f aca="false">SUM(C9:F9)</f>
        <v>2750</v>
      </c>
    </row>
    <row r="10" customFormat="false" ht="15" hidden="false" customHeight="false" outlineLevel="0" collapsed="false">
      <c r="A10" s="10" t="s">
        <v>17</v>
      </c>
      <c r="B10" s="11" t="s">
        <v>14</v>
      </c>
      <c r="C10" s="12" t="n">
        <v>890</v>
      </c>
      <c r="D10" s="12" t="n">
        <v>920</v>
      </c>
      <c r="E10" s="12" t="n">
        <v>960</v>
      </c>
      <c r="F10" s="12" t="n">
        <v>990</v>
      </c>
      <c r="G10" s="13" t="n">
        <f aca="false">SUM(C10:F10)</f>
        <v>3760</v>
      </c>
    </row>
    <row r="11" customFormat="false" ht="15" hidden="false" customHeight="false" outlineLevel="0" collapsed="false">
      <c r="A11" s="7" t="s">
        <v>18</v>
      </c>
      <c r="B11" s="8" t="s">
        <v>14</v>
      </c>
      <c r="C11" s="9" t="n">
        <f aca="false">SUM(C7:C10)</f>
        <v>5870</v>
      </c>
      <c r="D11" s="9" t="n">
        <f aca="false">SUM(D7:D10)</f>
        <v>6160</v>
      </c>
      <c r="E11" s="9" t="n">
        <f aca="false">SUM(E7:E10)</f>
        <v>6410</v>
      </c>
      <c r="F11" s="9" t="n">
        <f aca="false">SUM(F7:F10)</f>
        <v>6690</v>
      </c>
      <c r="G11" s="9" t="n">
        <f aca="false">SUM(C11:F11)</f>
        <v>25130</v>
      </c>
    </row>
    <row r="12" customFormat="false" ht="15" hidden="false" customHeight="false" outlineLevel="0" collapsed="false">
      <c r="A12" s="14" t="s">
        <v>19</v>
      </c>
      <c r="B12" s="15" t="s">
        <v>20</v>
      </c>
      <c r="C12" s="16" t="n">
        <f aca="false">C6-C11</f>
        <v>4170</v>
      </c>
      <c r="D12" s="16" t="n">
        <f aca="false">D6-D11</f>
        <v>4340</v>
      </c>
      <c r="E12" s="16" t="n">
        <f aca="false">E6-E11</f>
        <v>4500</v>
      </c>
      <c r="F12" s="16" t="n">
        <f aca="false">F6-F11</f>
        <v>4690</v>
      </c>
      <c r="G12" s="16" t="n">
        <f aca="false">SUM(C12:F12)</f>
        <v>17700</v>
      </c>
    </row>
    <row r="13" customFormat="false" ht="15" hidden="false" customHeight="false" outlineLevel="0" collapsed="false">
      <c r="A13" s="17" t="s">
        <v>21</v>
      </c>
      <c r="B13" s="15" t="s">
        <v>20</v>
      </c>
      <c r="C13" s="18" t="n">
        <v>210</v>
      </c>
      <c r="D13" s="18" t="n">
        <v>215</v>
      </c>
      <c r="E13" s="18" t="n">
        <v>220</v>
      </c>
      <c r="F13" s="18" t="n">
        <v>225</v>
      </c>
      <c r="G13" s="19" t="n">
        <f aca="false">SUM(C13:F13)</f>
        <v>870</v>
      </c>
    </row>
    <row r="14" customFormat="false" ht="15" hidden="false" customHeight="false" outlineLevel="0" collapsed="false">
      <c r="A14" s="14" t="s">
        <v>22</v>
      </c>
      <c r="B14" s="15" t="s">
        <v>20</v>
      </c>
      <c r="C14" s="16" t="n">
        <f aca="false">C12-C13</f>
        <v>3960</v>
      </c>
      <c r="D14" s="16" t="n">
        <f aca="false">D12-D13</f>
        <v>4125</v>
      </c>
      <c r="E14" s="16" t="n">
        <f aca="false">E12-E13</f>
        <v>4280</v>
      </c>
      <c r="F14" s="16" t="n">
        <f aca="false">F12-F13</f>
        <v>4465</v>
      </c>
      <c r="G14" s="16" t="n">
        <f aca="false">SUM(C14:F14)</f>
        <v>16830</v>
      </c>
    </row>
    <row r="15" customFormat="false" ht="15" hidden="false" customHeight="false" outlineLevel="0" collapsed="false">
      <c r="A15" s="17" t="s">
        <v>23</v>
      </c>
      <c r="B15" s="15" t="s">
        <v>20</v>
      </c>
      <c r="C15" s="18" t="n">
        <v>420</v>
      </c>
      <c r="D15" s="18" t="n">
        <v>445</v>
      </c>
      <c r="E15" s="18" t="n">
        <v>470</v>
      </c>
      <c r="F15" s="18" t="n">
        <v>495</v>
      </c>
      <c r="G15" s="19" t="n">
        <f aca="false">SUM(C15:F15)</f>
        <v>1830</v>
      </c>
    </row>
    <row r="16" customFormat="false" ht="15" hidden="false" customHeight="false" outlineLevel="0" collapsed="false">
      <c r="A16" s="14" t="s">
        <v>24</v>
      </c>
      <c r="B16" s="15" t="s">
        <v>20</v>
      </c>
      <c r="C16" s="16" t="n">
        <f aca="false">C14-C15</f>
        <v>3540</v>
      </c>
      <c r="D16" s="16" t="n">
        <f aca="false">D14-D15</f>
        <v>3680</v>
      </c>
      <c r="E16" s="16" t="n">
        <f aca="false">E14-E15</f>
        <v>3810</v>
      </c>
      <c r="F16" s="16" t="n">
        <f aca="false">F14-F15</f>
        <v>3970</v>
      </c>
      <c r="G16" s="16" t="n">
        <f aca="false">SUM(C16:F16)</f>
        <v>15000</v>
      </c>
    </row>
    <row r="17" customFormat="false" ht="15" hidden="false" customHeight="false" outlineLevel="0" collapsed="false">
      <c r="A17" s="20" t="s">
        <v>25</v>
      </c>
      <c r="B17" s="21" t="s">
        <v>26</v>
      </c>
      <c r="C17" s="22" t="n">
        <f aca="false">C16/C6</f>
        <v>0.352589641434263</v>
      </c>
      <c r="D17" s="22" t="n">
        <f aca="false">D16/D6</f>
        <v>0.350476190476191</v>
      </c>
      <c r="E17" s="22" t="n">
        <f aca="false">E16/E6</f>
        <v>0.349220898258478</v>
      </c>
      <c r="F17" s="22" t="n">
        <f aca="false">F16/F6</f>
        <v>0.348857644991213</v>
      </c>
      <c r="G17" s="22" t="n">
        <f aca="false">G16/G6</f>
        <v>0.350221807144525</v>
      </c>
    </row>
    <row r="18" customFormat="false" ht="15" hidden="false" customHeight="false" outlineLevel="0" collapsed="false">
      <c r="A18" s="20" t="s">
        <v>27</v>
      </c>
      <c r="B18" s="21" t="s">
        <v>26</v>
      </c>
      <c r="C18" s="22" t="n">
        <v>0.021</v>
      </c>
      <c r="D18" s="22" t="n">
        <v>0.022</v>
      </c>
      <c r="E18" s="22" t="n">
        <v>0.023</v>
      </c>
      <c r="F18" s="22" t="n">
        <v>0.024</v>
      </c>
      <c r="G18" s="22" t="n">
        <f aca="false">AVERAGE(C18:F18)</f>
        <v>0.0225</v>
      </c>
    </row>
    <row r="19" customFormat="false" ht="15" hidden="false" customHeight="false" outlineLevel="0" collapsed="false">
      <c r="A19" s="20" t="s">
        <v>28</v>
      </c>
      <c r="B19" s="21" t="s">
        <v>26</v>
      </c>
      <c r="C19" s="22" t="n">
        <v>0.098</v>
      </c>
      <c r="D19" s="22" t="n">
        <v>0.101</v>
      </c>
      <c r="E19" s="22" t="n">
        <v>0.103</v>
      </c>
      <c r="F19" s="22" t="n">
        <v>0.106</v>
      </c>
      <c r="G19" s="22" t="n">
        <f aca="false">AVERAGE(C19:F19)</f>
        <v>0.102</v>
      </c>
    </row>
    <row r="20" customFormat="false" ht="15" hidden="false" customHeight="false" outlineLevel="0" collapsed="false">
      <c r="A20" s="20" t="s">
        <v>29</v>
      </c>
      <c r="B20" s="21" t="s">
        <v>26</v>
      </c>
      <c r="C20" s="22" t="n">
        <f aca="false">(C8+C9+C10)/C6</f>
        <v>0.264940239043825</v>
      </c>
      <c r="D20" s="22" t="n">
        <f aca="false">(D8+D9+D10)/D6</f>
        <v>0.264761904761905</v>
      </c>
      <c r="E20" s="22" t="n">
        <f aca="false">(E8+E9+E10)/E6</f>
        <v>0.264894592117324</v>
      </c>
      <c r="F20" s="22" t="n">
        <f aca="false">(F8+F9+F10)/F6</f>
        <v>0.263620386643234</v>
      </c>
      <c r="G20" s="22" t="n">
        <f aca="false">(G8+G9+G10)/G6</f>
        <v>0.264534204996498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9" min="4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</row>
    <row r="3" customFormat="false" ht="15" hidden="false" customHeight="false" outlineLevel="0" collapsed="false">
      <c r="A3" s="23" t="s">
        <v>43</v>
      </c>
      <c r="B3" s="24" t="s">
        <v>44</v>
      </c>
      <c r="C3" s="25" t="n">
        <v>280</v>
      </c>
      <c r="D3" s="25" t="n">
        <v>65</v>
      </c>
      <c r="E3" s="25" t="n">
        <v>71</v>
      </c>
      <c r="F3" s="25" t="n">
        <v>70</v>
      </c>
      <c r="G3" s="25" t="n">
        <v>68</v>
      </c>
      <c r="H3" s="25" t="n">
        <f aca="false">D3+F3</f>
        <v>135</v>
      </c>
      <c r="I3" s="25" t="n">
        <f aca="false">E3+G3</f>
        <v>139</v>
      </c>
      <c r="J3" s="26" t="n">
        <f aca="false">I3-H3</f>
        <v>4</v>
      </c>
      <c r="K3" s="27" t="n">
        <f aca="false">J3/H3</f>
        <v>0.0296296296296296</v>
      </c>
      <c r="L3" s="24" t="s">
        <v>45</v>
      </c>
    </row>
    <row r="4" customFormat="false" ht="15" hidden="false" customHeight="false" outlineLevel="0" collapsed="false">
      <c r="A4" s="28" t="s">
        <v>46</v>
      </c>
      <c r="B4" s="29" t="s">
        <v>47</v>
      </c>
      <c r="C4" s="30" t="n">
        <v>195</v>
      </c>
      <c r="D4" s="30" t="n">
        <v>47</v>
      </c>
      <c r="E4" s="30" t="n">
        <v>44</v>
      </c>
      <c r="F4" s="30" t="n">
        <v>50</v>
      </c>
      <c r="G4" s="30" t="n">
        <v>53</v>
      </c>
      <c r="H4" s="30" t="n">
        <f aca="false">D4+F4</f>
        <v>97</v>
      </c>
      <c r="I4" s="30" t="n">
        <f aca="false">E4+G4</f>
        <v>97</v>
      </c>
      <c r="J4" s="31" t="n">
        <f aca="false">I4-H4</f>
        <v>0</v>
      </c>
      <c r="K4" s="27" t="n">
        <f aca="false">J4/H4</f>
        <v>0</v>
      </c>
      <c r="L4" s="29" t="s">
        <v>48</v>
      </c>
    </row>
    <row r="5" customFormat="false" ht="15" hidden="false" customHeight="false" outlineLevel="0" collapsed="false">
      <c r="A5" s="23" t="s">
        <v>49</v>
      </c>
      <c r="B5" s="24" t="s">
        <v>50</v>
      </c>
      <c r="C5" s="25" t="n">
        <v>340</v>
      </c>
      <c r="D5" s="25" t="n">
        <v>82</v>
      </c>
      <c r="E5" s="25" t="n">
        <v>88</v>
      </c>
      <c r="F5" s="25" t="n">
        <v>86</v>
      </c>
      <c r="G5" s="25" t="n">
        <v>90</v>
      </c>
      <c r="H5" s="25" t="n">
        <f aca="false">D5+F5</f>
        <v>168</v>
      </c>
      <c r="I5" s="25" t="n">
        <f aca="false">E5+G5</f>
        <v>178</v>
      </c>
      <c r="J5" s="26" t="n">
        <f aca="false">I5-H5</f>
        <v>10</v>
      </c>
      <c r="K5" s="27" t="n">
        <f aca="false">J5/H5</f>
        <v>0.0595238095238095</v>
      </c>
      <c r="L5" s="24" t="s">
        <v>45</v>
      </c>
    </row>
    <row r="6" customFormat="false" ht="15" hidden="false" customHeight="false" outlineLevel="0" collapsed="false">
      <c r="A6" s="28" t="s">
        <v>51</v>
      </c>
      <c r="B6" s="29" t="s">
        <v>52</v>
      </c>
      <c r="C6" s="30" t="n">
        <v>145</v>
      </c>
      <c r="D6" s="30" t="n">
        <v>35</v>
      </c>
      <c r="E6" s="30" t="n">
        <v>33</v>
      </c>
      <c r="F6" s="30" t="n">
        <v>37</v>
      </c>
      <c r="G6" s="30" t="n">
        <v>36</v>
      </c>
      <c r="H6" s="30" t="n">
        <f aca="false">D6+F6</f>
        <v>72</v>
      </c>
      <c r="I6" s="30" t="n">
        <f aca="false">E6+G6</f>
        <v>69</v>
      </c>
      <c r="J6" s="31" t="n">
        <f aca="false">I6-H6</f>
        <v>-3</v>
      </c>
      <c r="K6" s="27" t="n">
        <f aca="false">J6/H6</f>
        <v>-0.0416666666666667</v>
      </c>
      <c r="L6" s="29" t="s">
        <v>53</v>
      </c>
    </row>
    <row r="7" customFormat="false" ht="15" hidden="false" customHeight="false" outlineLevel="0" collapsed="false">
      <c r="A7" s="23" t="s">
        <v>54</v>
      </c>
      <c r="B7" s="24" t="s">
        <v>55</v>
      </c>
      <c r="C7" s="25" t="n">
        <v>98</v>
      </c>
      <c r="D7" s="25" t="n">
        <v>24</v>
      </c>
      <c r="E7" s="25" t="n">
        <v>23</v>
      </c>
      <c r="F7" s="25" t="n">
        <v>25</v>
      </c>
      <c r="G7" s="25" t="n">
        <v>24</v>
      </c>
      <c r="H7" s="25" t="n">
        <f aca="false">D7+F7</f>
        <v>49</v>
      </c>
      <c r="I7" s="25" t="n">
        <f aca="false">E7+G7</f>
        <v>47</v>
      </c>
      <c r="J7" s="26" t="n">
        <f aca="false">I7-H7</f>
        <v>-2</v>
      </c>
      <c r="K7" s="27" t="n">
        <f aca="false">J7/H7</f>
        <v>-0.0408163265306122</v>
      </c>
      <c r="L7" s="24" t="s">
        <v>48</v>
      </c>
    </row>
    <row r="8" customFormat="false" ht="15" hidden="false" customHeight="false" outlineLevel="0" collapsed="false">
      <c r="A8" s="28" t="s">
        <v>56</v>
      </c>
      <c r="B8" s="29" t="s">
        <v>57</v>
      </c>
      <c r="C8" s="30" t="n">
        <v>87</v>
      </c>
      <c r="D8" s="30" t="n">
        <v>21</v>
      </c>
      <c r="E8" s="30" t="n">
        <v>22</v>
      </c>
      <c r="F8" s="30" t="n">
        <v>22</v>
      </c>
      <c r="G8" s="30" t="n">
        <v>21</v>
      </c>
      <c r="H8" s="30" t="n">
        <f aca="false">D8+F8</f>
        <v>43</v>
      </c>
      <c r="I8" s="30" t="n">
        <f aca="false">E8+G8</f>
        <v>43</v>
      </c>
      <c r="J8" s="31" t="n">
        <f aca="false">I8-H8</f>
        <v>0</v>
      </c>
      <c r="K8" s="27" t="n">
        <f aca="false">J8/H8</f>
        <v>0</v>
      </c>
      <c r="L8" s="29" t="s">
        <v>48</v>
      </c>
    </row>
    <row r="9" customFormat="false" ht="15" hidden="false" customHeight="false" outlineLevel="0" collapsed="false">
      <c r="A9" s="23" t="s">
        <v>58</v>
      </c>
      <c r="B9" s="24" t="s">
        <v>59</v>
      </c>
      <c r="C9" s="25" t="n">
        <v>210</v>
      </c>
      <c r="D9" s="25" t="n">
        <v>51</v>
      </c>
      <c r="E9" s="25" t="n">
        <v>55</v>
      </c>
      <c r="F9" s="25" t="n">
        <v>54</v>
      </c>
      <c r="G9" s="25" t="n">
        <v>58</v>
      </c>
      <c r="H9" s="25" t="n">
        <f aca="false">D9+F9</f>
        <v>105</v>
      </c>
      <c r="I9" s="25" t="n">
        <f aca="false">E9+G9</f>
        <v>113</v>
      </c>
      <c r="J9" s="26" t="n">
        <f aca="false">I9-H9</f>
        <v>8</v>
      </c>
      <c r="K9" s="27" t="n">
        <f aca="false">J9/H9</f>
        <v>0.0761904761904762</v>
      </c>
      <c r="L9" s="24" t="s">
        <v>45</v>
      </c>
    </row>
    <row r="10" customFormat="false" ht="15" hidden="false" customHeight="false" outlineLevel="0" collapsed="false">
      <c r="A10" s="28" t="s">
        <v>60</v>
      </c>
      <c r="B10" s="29" t="s">
        <v>61</v>
      </c>
      <c r="C10" s="30" t="n">
        <v>62</v>
      </c>
      <c r="D10" s="30" t="n">
        <v>15</v>
      </c>
      <c r="E10" s="30" t="n">
        <v>14</v>
      </c>
      <c r="F10" s="30" t="n">
        <v>16</v>
      </c>
      <c r="G10" s="30" t="n">
        <v>15</v>
      </c>
      <c r="H10" s="30" t="n">
        <f aca="false">D10+F10</f>
        <v>31</v>
      </c>
      <c r="I10" s="30" t="n">
        <f aca="false">E10+G10</f>
        <v>29</v>
      </c>
      <c r="J10" s="31" t="n">
        <f aca="false">I10-H10</f>
        <v>-2</v>
      </c>
      <c r="K10" s="27" t="n">
        <f aca="false">J10/H10</f>
        <v>-0.0645161290322581</v>
      </c>
      <c r="L10" s="29" t="s">
        <v>48</v>
      </c>
    </row>
    <row r="11" customFormat="false" ht="15" hidden="false" customHeight="false" outlineLevel="0" collapsed="false">
      <c r="A11" s="23" t="s">
        <v>62</v>
      </c>
      <c r="B11" s="24" t="s">
        <v>63</v>
      </c>
      <c r="C11" s="25" t="n">
        <v>155</v>
      </c>
      <c r="D11" s="25" t="n">
        <v>37</v>
      </c>
      <c r="E11" s="25" t="n">
        <v>41</v>
      </c>
      <c r="F11" s="25" t="n">
        <v>39</v>
      </c>
      <c r="G11" s="25" t="n">
        <v>43</v>
      </c>
      <c r="H11" s="25" t="n">
        <f aca="false">D11+F11</f>
        <v>76</v>
      </c>
      <c r="I11" s="25" t="n">
        <f aca="false">E11+G11</f>
        <v>84</v>
      </c>
      <c r="J11" s="26" t="n">
        <f aca="false">I11-H11</f>
        <v>8</v>
      </c>
      <c r="K11" s="27" t="n">
        <f aca="false">J11/H11</f>
        <v>0.105263157894737</v>
      </c>
      <c r="L11" s="24" t="s">
        <v>45</v>
      </c>
    </row>
    <row r="12" customFormat="false" ht="15" hidden="false" customHeight="false" outlineLevel="0" collapsed="false">
      <c r="A12" s="28" t="s">
        <v>64</v>
      </c>
      <c r="B12" s="29" t="s">
        <v>65</v>
      </c>
      <c r="C12" s="30" t="n">
        <v>175</v>
      </c>
      <c r="D12" s="30" t="n">
        <v>43</v>
      </c>
      <c r="E12" s="30" t="n">
        <v>40</v>
      </c>
      <c r="F12" s="30" t="n">
        <v>44</v>
      </c>
      <c r="G12" s="30" t="n">
        <v>42</v>
      </c>
      <c r="H12" s="30" t="n">
        <f aca="false">D12+F12</f>
        <v>87</v>
      </c>
      <c r="I12" s="30" t="n">
        <f aca="false">E12+G12</f>
        <v>82</v>
      </c>
      <c r="J12" s="31" t="n">
        <f aca="false">I12-H12</f>
        <v>-5</v>
      </c>
      <c r="K12" s="27" t="n">
        <f aca="false">J12/H12</f>
        <v>-0.0574712643678161</v>
      </c>
      <c r="L12" s="29" t="s">
        <v>53</v>
      </c>
    </row>
    <row r="13" customFormat="false" ht="15" hidden="false" customHeight="false" outlineLevel="0" collapsed="false">
      <c r="A13" s="23" t="s">
        <v>66</v>
      </c>
      <c r="B13" s="24" t="s">
        <v>67</v>
      </c>
      <c r="C13" s="25" t="n">
        <v>118</v>
      </c>
      <c r="D13" s="25" t="n">
        <v>28</v>
      </c>
      <c r="E13" s="25" t="n">
        <v>30</v>
      </c>
      <c r="F13" s="25" t="n">
        <v>30</v>
      </c>
      <c r="G13" s="25" t="n">
        <v>31</v>
      </c>
      <c r="H13" s="25" t="n">
        <f aca="false">D13+F13</f>
        <v>58</v>
      </c>
      <c r="I13" s="25" t="n">
        <f aca="false">E13+G13</f>
        <v>61</v>
      </c>
      <c r="J13" s="26" t="n">
        <f aca="false">I13-H13</f>
        <v>3</v>
      </c>
      <c r="K13" s="27" t="n">
        <f aca="false">J13/H13</f>
        <v>0.0517241379310345</v>
      </c>
      <c r="L13" s="24" t="s">
        <v>45</v>
      </c>
    </row>
    <row r="14" customFormat="false" ht="15" hidden="false" customHeight="false" outlineLevel="0" collapsed="false">
      <c r="A14" s="28" t="s">
        <v>68</v>
      </c>
      <c r="B14" s="29" t="s">
        <v>69</v>
      </c>
      <c r="C14" s="30" t="n">
        <v>45</v>
      </c>
      <c r="D14" s="30" t="n">
        <v>11</v>
      </c>
      <c r="E14" s="30" t="n">
        <v>10</v>
      </c>
      <c r="F14" s="30" t="n">
        <v>11</v>
      </c>
      <c r="G14" s="30" t="n">
        <v>11</v>
      </c>
      <c r="H14" s="30" t="n">
        <f aca="false">D14+F14</f>
        <v>22</v>
      </c>
      <c r="I14" s="30" t="n">
        <f aca="false">E14+G14</f>
        <v>21</v>
      </c>
      <c r="J14" s="31" t="n">
        <f aca="false">I14-H14</f>
        <v>-1</v>
      </c>
      <c r="K14" s="27" t="n">
        <f aca="false">J14/H14</f>
        <v>-0.0454545454545455</v>
      </c>
      <c r="L14" s="29" t="s">
        <v>48</v>
      </c>
    </row>
    <row r="15" customFormat="false" ht="15" hidden="false" customHeight="false" outlineLevel="0" collapsed="false">
      <c r="A15" s="2" t="s">
        <v>70</v>
      </c>
      <c r="B15" s="2"/>
      <c r="C15" s="2" t="n">
        <f aca="false">SUM(C3:C14)</f>
        <v>1910</v>
      </c>
      <c r="D15" s="2" t="n">
        <f aca="false">SUM(D3:D14)</f>
        <v>459</v>
      </c>
      <c r="E15" s="2" t="n">
        <f aca="false">SUM(E3:E14)</f>
        <v>471</v>
      </c>
      <c r="F15" s="2" t="n">
        <f aca="false">SUM(F3:F14)</f>
        <v>484</v>
      </c>
      <c r="G15" s="2" t="n">
        <f aca="false">SUM(G3:G14)</f>
        <v>492</v>
      </c>
      <c r="H15" s="2" t="n">
        <f aca="false">SUM(H3:H14)</f>
        <v>943</v>
      </c>
      <c r="I15" s="2" t="n">
        <f aca="false">SUM(I3:I14)</f>
        <v>963</v>
      </c>
      <c r="J15" s="2" t="n">
        <f aca="false">SUM(J3:J14)</f>
        <v>20</v>
      </c>
      <c r="K15" s="32" t="n">
        <f aca="false">J15/H15</f>
        <v>0.0212089077412513</v>
      </c>
      <c r="L15" s="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8" min="3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</row>
    <row r="3" customFormat="false" ht="15" hidden="false" customHeight="false" outlineLevel="0" collapsed="false">
      <c r="A3" s="33" t="s">
        <v>83</v>
      </c>
      <c r="B3" s="34" t="s">
        <v>84</v>
      </c>
      <c r="C3" s="35" t="n">
        <v>420</v>
      </c>
      <c r="D3" s="35" t="n">
        <v>422</v>
      </c>
      <c r="E3" s="35" t="n">
        <v>425</v>
      </c>
      <c r="F3" s="35" t="n">
        <v>428</v>
      </c>
      <c r="G3" s="35" t="n">
        <v>430</v>
      </c>
      <c r="H3" s="35" t="n">
        <v>433</v>
      </c>
      <c r="I3" s="35" t="n">
        <f aca="false">SUM(C3:H3)</f>
        <v>2558</v>
      </c>
      <c r="J3" s="27" t="n">
        <f aca="false">(H3-G3)/G3</f>
        <v>0.00697674418604651</v>
      </c>
      <c r="K3" s="27" t="n">
        <f aca="false">I3/I17</f>
        <v>0.44286703601108</v>
      </c>
    </row>
    <row r="4" customFormat="false" ht="15" hidden="false" customHeight="false" outlineLevel="0" collapsed="false">
      <c r="A4" s="28" t="s">
        <v>85</v>
      </c>
      <c r="B4" s="36" t="s">
        <v>86</v>
      </c>
      <c r="C4" s="30" t="n">
        <v>68</v>
      </c>
      <c r="D4" s="30" t="n">
        <v>72</v>
      </c>
      <c r="E4" s="30" t="n">
        <v>79</v>
      </c>
      <c r="F4" s="30" t="n">
        <v>65</v>
      </c>
      <c r="G4" s="30" t="n">
        <v>74</v>
      </c>
      <c r="H4" s="30" t="n">
        <v>81</v>
      </c>
      <c r="I4" s="30" t="n">
        <f aca="false">SUM(C4:H4)</f>
        <v>439</v>
      </c>
      <c r="J4" s="27" t="n">
        <f aca="false">(H4-G4)/G4</f>
        <v>0.0945945945945946</v>
      </c>
      <c r="K4" s="27" t="n">
        <f aca="false">I4/I17</f>
        <v>0.0760041551246537</v>
      </c>
    </row>
    <row r="5" customFormat="false" ht="15" hidden="false" customHeight="false" outlineLevel="0" collapsed="false">
      <c r="A5" s="33" t="s">
        <v>87</v>
      </c>
      <c r="B5" s="34" t="s">
        <v>84</v>
      </c>
      <c r="C5" s="35" t="n">
        <v>88</v>
      </c>
      <c r="D5" s="35" t="n">
        <v>89</v>
      </c>
      <c r="E5" s="35" t="n">
        <v>91</v>
      </c>
      <c r="F5" s="35" t="n">
        <v>90</v>
      </c>
      <c r="G5" s="35" t="n">
        <v>92</v>
      </c>
      <c r="H5" s="35" t="n">
        <v>94</v>
      </c>
      <c r="I5" s="35" t="n">
        <f aca="false">SUM(C5:H5)</f>
        <v>544</v>
      </c>
      <c r="J5" s="27" t="n">
        <f aca="false">(H5-G5)/G5</f>
        <v>0.0217391304347826</v>
      </c>
      <c r="K5" s="27" t="n">
        <f aca="false">I5/I17</f>
        <v>0.0941828254847646</v>
      </c>
    </row>
    <row r="6" customFormat="false" ht="15" hidden="false" customHeight="false" outlineLevel="0" collapsed="false">
      <c r="A6" s="28" t="s">
        <v>88</v>
      </c>
      <c r="B6" s="34" t="s">
        <v>84</v>
      </c>
      <c r="C6" s="30" t="n">
        <v>34</v>
      </c>
      <c r="D6" s="30" t="n">
        <v>34</v>
      </c>
      <c r="E6" s="30" t="n">
        <v>36</v>
      </c>
      <c r="F6" s="30" t="n">
        <v>36</v>
      </c>
      <c r="G6" s="30" t="n">
        <v>37</v>
      </c>
      <c r="H6" s="30" t="n">
        <v>38</v>
      </c>
      <c r="I6" s="30" t="n">
        <f aca="false">SUM(C6:H6)</f>
        <v>215</v>
      </c>
      <c r="J6" s="27" t="n">
        <f aca="false">(H6-G6)/G6</f>
        <v>0.027027027027027</v>
      </c>
      <c r="K6" s="27" t="n">
        <f aca="false">I6/I17</f>
        <v>0.0372229916897507</v>
      </c>
    </row>
    <row r="7" customFormat="false" ht="15" hidden="false" customHeight="false" outlineLevel="0" collapsed="false">
      <c r="A7" s="33" t="s">
        <v>89</v>
      </c>
      <c r="B7" s="36" t="s">
        <v>86</v>
      </c>
      <c r="C7" s="35" t="n">
        <v>52</v>
      </c>
      <c r="D7" s="35" t="n">
        <v>61</v>
      </c>
      <c r="E7" s="35" t="n">
        <v>58</v>
      </c>
      <c r="F7" s="35" t="n">
        <v>70</v>
      </c>
      <c r="G7" s="35" t="n">
        <v>65</v>
      </c>
      <c r="H7" s="35" t="n">
        <v>72</v>
      </c>
      <c r="I7" s="35" t="n">
        <f aca="false">SUM(C7:H7)</f>
        <v>378</v>
      </c>
      <c r="J7" s="27" t="n">
        <f aca="false">(H7-G7)/G7</f>
        <v>0.107692307692308</v>
      </c>
      <c r="K7" s="27" t="n">
        <f aca="false">I7/I17</f>
        <v>0.0654432132963989</v>
      </c>
    </row>
    <row r="8" customFormat="false" ht="15" hidden="false" customHeight="false" outlineLevel="0" collapsed="false">
      <c r="A8" s="28" t="s">
        <v>90</v>
      </c>
      <c r="B8" s="36" t="s">
        <v>86</v>
      </c>
      <c r="C8" s="30" t="n">
        <v>31</v>
      </c>
      <c r="D8" s="30" t="n">
        <v>33</v>
      </c>
      <c r="E8" s="30" t="n">
        <v>29</v>
      </c>
      <c r="F8" s="30" t="n">
        <v>35</v>
      </c>
      <c r="G8" s="30" t="n">
        <v>38</v>
      </c>
      <c r="H8" s="30" t="n">
        <v>36</v>
      </c>
      <c r="I8" s="30" t="n">
        <f aca="false">SUM(C8:H8)</f>
        <v>202</v>
      </c>
      <c r="J8" s="27" t="n">
        <f aca="false">(H8-G8)/G8</f>
        <v>-0.0526315789473684</v>
      </c>
      <c r="K8" s="27" t="n">
        <f aca="false">I8/I17</f>
        <v>0.0349722991689751</v>
      </c>
    </row>
    <row r="9" customFormat="false" ht="15" hidden="false" customHeight="false" outlineLevel="0" collapsed="false">
      <c r="A9" s="33" t="s">
        <v>91</v>
      </c>
      <c r="B9" s="34" t="s">
        <v>84</v>
      </c>
      <c r="C9" s="35" t="n">
        <v>24</v>
      </c>
      <c r="D9" s="35" t="n">
        <v>24</v>
      </c>
      <c r="E9" s="35" t="n">
        <v>25</v>
      </c>
      <c r="F9" s="35" t="n">
        <v>25</v>
      </c>
      <c r="G9" s="35" t="n">
        <v>24</v>
      </c>
      <c r="H9" s="35" t="n">
        <v>26</v>
      </c>
      <c r="I9" s="35" t="n">
        <f aca="false">SUM(C9:H9)</f>
        <v>148</v>
      </c>
      <c r="J9" s="27" t="n">
        <f aca="false">(H9-G9)/G9</f>
        <v>0.0833333333333333</v>
      </c>
      <c r="K9" s="27" t="n">
        <f aca="false">I9/I17</f>
        <v>0.0256232686980609</v>
      </c>
    </row>
    <row r="10" customFormat="false" ht="15" hidden="false" customHeight="false" outlineLevel="0" collapsed="false">
      <c r="A10" s="28" t="s">
        <v>92</v>
      </c>
      <c r="B10" s="36" t="s">
        <v>86</v>
      </c>
      <c r="C10" s="30" t="n">
        <v>18</v>
      </c>
      <c r="D10" s="30" t="n">
        <v>22</v>
      </c>
      <c r="E10" s="30" t="n">
        <v>19</v>
      </c>
      <c r="F10" s="30" t="n">
        <v>25</v>
      </c>
      <c r="G10" s="30" t="n">
        <v>21</v>
      </c>
      <c r="H10" s="30" t="n">
        <v>24</v>
      </c>
      <c r="I10" s="30" t="n">
        <f aca="false">SUM(C10:H10)</f>
        <v>129</v>
      </c>
      <c r="J10" s="27" t="n">
        <f aca="false">(H10-G10)/G10</f>
        <v>0.142857142857143</v>
      </c>
      <c r="K10" s="27" t="n">
        <f aca="false">I10/I17</f>
        <v>0.0223337950138504</v>
      </c>
    </row>
    <row r="11" customFormat="false" ht="15" hidden="false" customHeight="false" outlineLevel="0" collapsed="false">
      <c r="A11" s="33" t="s">
        <v>93</v>
      </c>
      <c r="B11" s="36" t="s">
        <v>86</v>
      </c>
      <c r="C11" s="35" t="n">
        <v>12</v>
      </c>
      <c r="D11" s="35" t="n">
        <v>8</v>
      </c>
      <c r="E11" s="35" t="n">
        <v>14</v>
      </c>
      <c r="F11" s="35" t="n">
        <v>10</v>
      </c>
      <c r="G11" s="35" t="n">
        <v>11</v>
      </c>
      <c r="H11" s="35" t="n">
        <v>13</v>
      </c>
      <c r="I11" s="35" t="n">
        <f aca="false">SUM(C11:H11)</f>
        <v>68</v>
      </c>
      <c r="J11" s="27" t="n">
        <f aca="false">(H11-G11)/G11</f>
        <v>0.181818181818182</v>
      </c>
      <c r="K11" s="27" t="n">
        <f aca="false">I11/I17</f>
        <v>0.0117728531855956</v>
      </c>
    </row>
    <row r="12" customFormat="false" ht="15" hidden="false" customHeight="false" outlineLevel="0" collapsed="false">
      <c r="A12" s="28" t="s">
        <v>94</v>
      </c>
      <c r="B12" s="34" t="s">
        <v>84</v>
      </c>
      <c r="C12" s="30" t="n">
        <v>21</v>
      </c>
      <c r="D12" s="30" t="n">
        <v>21</v>
      </c>
      <c r="E12" s="30" t="n">
        <v>22</v>
      </c>
      <c r="F12" s="30" t="n">
        <v>22</v>
      </c>
      <c r="G12" s="30" t="n">
        <v>23</v>
      </c>
      <c r="H12" s="30" t="n">
        <v>23</v>
      </c>
      <c r="I12" s="30" t="n">
        <f aca="false">SUM(C12:H12)</f>
        <v>132</v>
      </c>
      <c r="J12" s="27" t="n">
        <f aca="false">(H12-G12)/G12</f>
        <v>0</v>
      </c>
      <c r="K12" s="27" t="n">
        <f aca="false">I12/I17</f>
        <v>0.0228531855955679</v>
      </c>
    </row>
    <row r="13" customFormat="false" ht="15" hidden="false" customHeight="false" outlineLevel="0" collapsed="false">
      <c r="A13" s="33" t="s">
        <v>95</v>
      </c>
      <c r="B13" s="36" t="s">
        <v>86</v>
      </c>
      <c r="C13" s="35" t="n">
        <v>45</v>
      </c>
      <c r="D13" s="35" t="n">
        <v>51</v>
      </c>
      <c r="E13" s="35" t="n">
        <v>49</v>
      </c>
      <c r="F13" s="35" t="n">
        <v>58</v>
      </c>
      <c r="G13" s="35" t="n">
        <v>55</v>
      </c>
      <c r="H13" s="35" t="n">
        <v>62</v>
      </c>
      <c r="I13" s="35" t="n">
        <f aca="false">SUM(C13:H13)</f>
        <v>320</v>
      </c>
      <c r="J13" s="27" t="n">
        <f aca="false">(H13-G13)/G13</f>
        <v>0.127272727272727</v>
      </c>
      <c r="K13" s="27" t="n">
        <f aca="false">I13/I17</f>
        <v>0.0554016620498615</v>
      </c>
    </row>
    <row r="14" customFormat="false" ht="15" hidden="false" customHeight="false" outlineLevel="0" collapsed="false">
      <c r="A14" s="28" t="s">
        <v>96</v>
      </c>
      <c r="B14" s="34" t="s">
        <v>84</v>
      </c>
      <c r="C14" s="30" t="n">
        <v>70</v>
      </c>
      <c r="D14" s="30" t="n">
        <v>70</v>
      </c>
      <c r="E14" s="30" t="n">
        <v>72</v>
      </c>
      <c r="F14" s="30" t="n">
        <v>71</v>
      </c>
      <c r="G14" s="30" t="n">
        <v>72</v>
      </c>
      <c r="H14" s="30" t="n">
        <v>73</v>
      </c>
      <c r="I14" s="30" t="n">
        <f aca="false">SUM(C14:H14)</f>
        <v>428</v>
      </c>
      <c r="J14" s="27" t="n">
        <f aca="false">(H14-G14)/G14</f>
        <v>0.0138888888888889</v>
      </c>
      <c r="K14" s="27" t="n">
        <f aca="false">I14/I17</f>
        <v>0.0740997229916898</v>
      </c>
    </row>
    <row r="15" customFormat="false" ht="15" hidden="false" customHeight="false" outlineLevel="0" collapsed="false">
      <c r="A15" s="33" t="s">
        <v>97</v>
      </c>
      <c r="B15" s="36" t="s">
        <v>86</v>
      </c>
      <c r="C15" s="35" t="n">
        <v>14</v>
      </c>
      <c r="D15" s="35" t="n">
        <v>11</v>
      </c>
      <c r="E15" s="35" t="n">
        <v>16</v>
      </c>
      <c r="F15" s="35" t="n">
        <v>12</v>
      </c>
      <c r="G15" s="35" t="n">
        <v>13</v>
      </c>
      <c r="H15" s="35" t="n">
        <v>15</v>
      </c>
      <c r="I15" s="35" t="n">
        <f aca="false">SUM(C15:H15)</f>
        <v>81</v>
      </c>
      <c r="J15" s="27" t="n">
        <f aca="false">(H15-G15)/G15</f>
        <v>0.153846153846154</v>
      </c>
      <c r="K15" s="27" t="n">
        <f aca="false">I15/I17</f>
        <v>0.0140235457063712</v>
      </c>
    </row>
    <row r="16" customFormat="false" ht="15" hidden="false" customHeight="false" outlineLevel="0" collapsed="false">
      <c r="A16" s="28" t="s">
        <v>98</v>
      </c>
      <c r="B16" s="36" t="s">
        <v>86</v>
      </c>
      <c r="C16" s="30" t="n">
        <v>22</v>
      </c>
      <c r="D16" s="30" t="n">
        <v>19</v>
      </c>
      <c r="E16" s="30" t="n">
        <v>24</v>
      </c>
      <c r="F16" s="30" t="n">
        <v>21</v>
      </c>
      <c r="G16" s="30" t="n">
        <v>23</v>
      </c>
      <c r="H16" s="30" t="n">
        <v>25</v>
      </c>
      <c r="I16" s="30" t="n">
        <f aca="false">SUM(C16:H16)</f>
        <v>134</v>
      </c>
      <c r="J16" s="27" t="n">
        <f aca="false">(H16-G16)/G16</f>
        <v>0.0869565217391304</v>
      </c>
      <c r="K16" s="27" t="n">
        <f aca="false">I16/I17</f>
        <v>0.0231994459833795</v>
      </c>
    </row>
    <row r="17" customFormat="false" ht="15" hidden="false" customHeight="false" outlineLevel="0" collapsed="false">
      <c r="A17" s="2" t="s">
        <v>99</v>
      </c>
      <c r="B17" s="2"/>
      <c r="C17" s="2" t="n">
        <f aca="false">SUM(C3:C16)</f>
        <v>919</v>
      </c>
      <c r="D17" s="2" t="n">
        <f aca="false">SUM(D3:D16)</f>
        <v>937</v>
      </c>
      <c r="E17" s="2" t="n">
        <f aca="false">SUM(E3:E16)</f>
        <v>959</v>
      </c>
      <c r="F17" s="2" t="n">
        <f aca="false">SUM(F3:F16)</f>
        <v>968</v>
      </c>
      <c r="G17" s="2" t="n">
        <f aca="false">SUM(G3:G16)</f>
        <v>978</v>
      </c>
      <c r="H17" s="2" t="n">
        <f aca="false">SUM(H3:H16)</f>
        <v>1015</v>
      </c>
      <c r="I17" s="2" t="n">
        <f aca="false">SUM(I3:I16)</f>
        <v>5776</v>
      </c>
      <c r="J17" s="32" t="n">
        <f aca="false">(H17-G17)/G17</f>
        <v>0.0378323108384458</v>
      </c>
      <c r="K17" s="2" t="s">
        <v>100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8" min="3" style="0" width="12"/>
    <col collapsed="false" customWidth="true" hidden="false" outlineLevel="0" max="9" min="9" style="0" width="16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102</v>
      </c>
      <c r="B2" s="2" t="s">
        <v>103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104</v>
      </c>
      <c r="J2" s="2" t="s">
        <v>105</v>
      </c>
      <c r="K2" s="2" t="s">
        <v>106</v>
      </c>
    </row>
    <row r="3" customFormat="false" ht="15" hidden="false" customHeight="false" outlineLevel="0" collapsed="false">
      <c r="A3" s="33" t="s">
        <v>107</v>
      </c>
      <c r="B3" s="37" t="s">
        <v>108</v>
      </c>
      <c r="C3" s="35" t="n">
        <v>9800</v>
      </c>
      <c r="D3" s="35" t="n">
        <v>10200</v>
      </c>
      <c r="E3" s="35" t="n">
        <v>10600</v>
      </c>
      <c r="F3" s="35" t="n">
        <v>11100</v>
      </c>
      <c r="G3" s="35" t="n">
        <v>11500</v>
      </c>
      <c r="H3" s="35" t="n">
        <v>12000</v>
      </c>
      <c r="I3" s="38" t="n">
        <f aca="false">SUM(C3:H3)</f>
        <v>65200</v>
      </c>
      <c r="J3" s="35" t="n">
        <v>64000</v>
      </c>
      <c r="K3" s="39" t="n">
        <f aca="false">I3-J3</f>
        <v>1200</v>
      </c>
    </row>
    <row r="4" customFormat="false" ht="15" hidden="false" customHeight="false" outlineLevel="0" collapsed="false">
      <c r="A4" s="28" t="s">
        <v>109</v>
      </c>
      <c r="B4" s="29" t="s">
        <v>108</v>
      </c>
      <c r="C4" s="30" t="n">
        <v>198000</v>
      </c>
      <c r="D4" s="30" t="n">
        <v>201500</v>
      </c>
      <c r="E4" s="30" t="n">
        <v>204800</v>
      </c>
      <c r="F4" s="30" t="n">
        <v>208200</v>
      </c>
      <c r="G4" s="30" t="n">
        <v>211600</v>
      </c>
      <c r="H4" s="30" t="n">
        <v>215000</v>
      </c>
      <c r="I4" s="40" t="n">
        <f aca="false">AVERAGE(C4:H4)</f>
        <v>206516.666666667</v>
      </c>
      <c r="J4" s="30" t="n">
        <v>215000</v>
      </c>
      <c r="K4" s="41" t="n">
        <f aca="false">I4-J4</f>
        <v>-8483.33333333334</v>
      </c>
    </row>
    <row r="5" customFormat="false" ht="15" hidden="false" customHeight="false" outlineLevel="0" collapsed="false">
      <c r="A5" s="33" t="s">
        <v>110</v>
      </c>
      <c r="B5" s="37" t="s">
        <v>111</v>
      </c>
      <c r="C5" s="42" t="n">
        <v>0.0148</v>
      </c>
      <c r="D5" s="42" t="n">
        <v>0.0145</v>
      </c>
      <c r="E5" s="42" t="n">
        <v>0.0143</v>
      </c>
      <c r="F5" s="42" t="n">
        <v>0.0141</v>
      </c>
      <c r="G5" s="42" t="n">
        <v>0.0139</v>
      </c>
      <c r="H5" s="42" t="n">
        <v>0.0137</v>
      </c>
      <c r="I5" s="43" t="n">
        <f aca="false">AVERAGE(C5:H5)</f>
        <v>0.0142166666666667</v>
      </c>
      <c r="J5" s="42" t="n">
        <v>0.0135</v>
      </c>
      <c r="K5" s="44" t="n">
        <f aca="false">I5-J5</f>
        <v>0.000716666666666668</v>
      </c>
    </row>
    <row r="6" customFormat="false" ht="15" hidden="false" customHeight="false" outlineLevel="0" collapsed="false">
      <c r="A6" s="28" t="s">
        <v>112</v>
      </c>
      <c r="B6" s="29" t="s">
        <v>111</v>
      </c>
      <c r="C6" s="45" t="n">
        <v>0.0058</v>
      </c>
      <c r="D6" s="45" t="n">
        <v>0.0057</v>
      </c>
      <c r="E6" s="45" t="n">
        <v>0.0056</v>
      </c>
      <c r="F6" s="45" t="n">
        <v>0.0055</v>
      </c>
      <c r="G6" s="45" t="n">
        <v>0.0054</v>
      </c>
      <c r="H6" s="45" t="n">
        <v>0.0052</v>
      </c>
      <c r="I6" s="46" t="n">
        <f aca="false">AVERAGE(C6:H6)</f>
        <v>0.00553333333333333</v>
      </c>
      <c r="J6" s="45" t="n">
        <v>0.005</v>
      </c>
      <c r="K6" s="47" t="n">
        <f aca="false">I6-J6</f>
        <v>0.000533333333333334</v>
      </c>
    </row>
    <row r="7" customFormat="false" ht="15" hidden="false" customHeight="false" outlineLevel="0" collapsed="false">
      <c r="A7" s="33" t="s">
        <v>113</v>
      </c>
      <c r="B7" s="37" t="s">
        <v>108</v>
      </c>
      <c r="C7" s="35" t="n">
        <v>5210</v>
      </c>
      <c r="D7" s="35" t="n">
        <v>5350</v>
      </c>
      <c r="E7" s="35" t="n">
        <v>5480</v>
      </c>
      <c r="F7" s="35" t="n">
        <v>5620</v>
      </c>
      <c r="G7" s="35" t="n">
        <v>5760</v>
      </c>
      <c r="H7" s="35" t="n">
        <v>5900</v>
      </c>
      <c r="I7" s="38" t="n">
        <f aca="false">SUM(C7:H7)</f>
        <v>33320</v>
      </c>
      <c r="J7" s="35" t="n">
        <v>33000</v>
      </c>
      <c r="K7" s="39" t="n">
        <f aca="false">I7-J7</f>
        <v>320</v>
      </c>
    </row>
    <row r="8" customFormat="false" ht="15" hidden="false" customHeight="false" outlineLevel="0" collapsed="false">
      <c r="A8" s="28" t="s">
        <v>114</v>
      </c>
      <c r="B8" s="29" t="s">
        <v>108</v>
      </c>
      <c r="C8" s="30" t="n">
        <v>1680</v>
      </c>
      <c r="D8" s="30" t="n">
        <v>1740</v>
      </c>
      <c r="E8" s="30" t="n">
        <v>1790</v>
      </c>
      <c r="F8" s="30" t="n">
        <v>1850</v>
      </c>
      <c r="G8" s="30" t="n">
        <v>1910</v>
      </c>
      <c r="H8" s="30" t="n">
        <v>1980</v>
      </c>
      <c r="I8" s="40" t="n">
        <f aca="false">SUM(C8:H8)</f>
        <v>10950</v>
      </c>
      <c r="J8" s="30" t="n">
        <v>10700</v>
      </c>
      <c r="K8" s="41" t="n">
        <f aca="false">I8-J8</f>
        <v>250</v>
      </c>
    </row>
    <row r="9" customFormat="false" ht="15" hidden="false" customHeight="false" outlineLevel="0" collapsed="false">
      <c r="A9" s="33" t="s">
        <v>115</v>
      </c>
      <c r="B9" s="37" t="s">
        <v>111</v>
      </c>
      <c r="C9" s="42" t="n">
        <v>0.082</v>
      </c>
      <c r="D9" s="42" t="n">
        <v>0.084</v>
      </c>
      <c r="E9" s="42" t="n">
        <v>0.086</v>
      </c>
      <c r="F9" s="42" t="n">
        <v>0.088</v>
      </c>
      <c r="G9" s="42" t="n">
        <v>0.09</v>
      </c>
      <c r="H9" s="42" t="n">
        <v>0.092</v>
      </c>
      <c r="I9" s="43" t="n">
        <f aca="false">AVERAGE(C9:H9)</f>
        <v>0.087</v>
      </c>
      <c r="J9" s="42" t="n">
        <v>0.09</v>
      </c>
      <c r="K9" s="44" t="n">
        <f aca="false">I9-J9</f>
        <v>-0.00299999999999999</v>
      </c>
    </row>
    <row r="10" customFormat="false" ht="15" hidden="false" customHeight="false" outlineLevel="0" collapsed="false">
      <c r="A10" s="28" t="s">
        <v>116</v>
      </c>
      <c r="B10" s="29" t="s">
        <v>111</v>
      </c>
      <c r="C10" s="45" t="n">
        <v>0.241</v>
      </c>
      <c r="D10" s="45" t="n">
        <v>0.243</v>
      </c>
      <c r="E10" s="45" t="n">
        <v>0.245</v>
      </c>
      <c r="F10" s="45" t="n">
        <v>0.246</v>
      </c>
      <c r="G10" s="45" t="n">
        <v>0.248</v>
      </c>
      <c r="H10" s="45" t="n">
        <v>0.25</v>
      </c>
      <c r="I10" s="46" t="n">
        <f aca="false">AVERAGE(C10:H10)</f>
        <v>0.2455</v>
      </c>
      <c r="J10" s="45" t="n">
        <v>0.245</v>
      </c>
      <c r="K10" s="47" t="n">
        <f aca="false">I10-J10</f>
        <v>0.000499999999999973</v>
      </c>
    </row>
    <row r="11" customFormat="false" ht="15" hidden="false" customHeight="false" outlineLevel="0" collapsed="false">
      <c r="A11" s="33" t="s">
        <v>117</v>
      </c>
      <c r="B11" s="37" t="s">
        <v>111</v>
      </c>
      <c r="C11" s="42" t="n">
        <v>0.078</v>
      </c>
      <c r="D11" s="42" t="n">
        <v>0.077</v>
      </c>
      <c r="E11" s="42" t="n">
        <v>0.076</v>
      </c>
      <c r="F11" s="42" t="n">
        <v>0.075</v>
      </c>
      <c r="G11" s="42" t="n">
        <v>0.074</v>
      </c>
      <c r="H11" s="42" t="n">
        <v>0.073</v>
      </c>
      <c r="I11" s="43" t="n">
        <f aca="false">AVERAGE(C11:H11)</f>
        <v>0.0755</v>
      </c>
      <c r="J11" s="42" t="n">
        <v>0.072</v>
      </c>
      <c r="K11" s="44" t="n">
        <f aca="false">I11-J11</f>
        <v>0.00349999999999999</v>
      </c>
    </row>
    <row r="12" customFormat="false" ht="15" hidden="false" customHeight="false" outlineLevel="0" collapsed="false">
      <c r="A12" s="28" t="s">
        <v>118</v>
      </c>
      <c r="B12" s="29" t="s">
        <v>111</v>
      </c>
      <c r="C12" s="45" t="n">
        <v>0.101</v>
      </c>
      <c r="D12" s="45" t="n">
        <v>0.102</v>
      </c>
      <c r="E12" s="45" t="n">
        <v>0.104</v>
      </c>
      <c r="F12" s="45" t="n">
        <v>0.105</v>
      </c>
      <c r="G12" s="45" t="n">
        <v>0.106</v>
      </c>
      <c r="H12" s="45" t="n">
        <v>0.108</v>
      </c>
      <c r="I12" s="46" t="n">
        <f aca="false">AVERAGE(C12:H12)</f>
        <v>0.104333333333333</v>
      </c>
      <c r="J12" s="45" t="n">
        <v>0.105</v>
      </c>
      <c r="K12" s="47" t="n">
        <f aca="false">I12-J12</f>
        <v>-0.000666666666666663</v>
      </c>
    </row>
    <row r="13" customFormat="false" ht="15" hidden="false" customHeight="false" outlineLevel="0" collapsed="false">
      <c r="A13" s="33" t="s">
        <v>119</v>
      </c>
      <c r="B13" s="37" t="s">
        <v>120</v>
      </c>
      <c r="C13" s="35" t="n">
        <v>185000</v>
      </c>
      <c r="D13" s="35" t="n">
        <v>193000</v>
      </c>
      <c r="E13" s="35" t="n">
        <v>201000</v>
      </c>
      <c r="F13" s="35" t="n">
        <v>209000</v>
      </c>
      <c r="G13" s="35" t="n">
        <v>218000</v>
      </c>
      <c r="H13" s="35" t="n">
        <v>228000</v>
      </c>
      <c r="I13" s="38" t="n">
        <f aca="false">SUM(C13:H13)</f>
        <v>1234000</v>
      </c>
      <c r="J13" s="35" t="n">
        <v>1200000</v>
      </c>
      <c r="K13" s="39" t="n">
        <f aca="false">I13-J13</f>
        <v>34000</v>
      </c>
    </row>
    <row r="14" customFormat="false" ht="15" hidden="false" customHeight="false" outlineLevel="0" collapsed="false">
      <c r="A14" s="28" t="s">
        <v>121</v>
      </c>
      <c r="B14" s="29" t="s">
        <v>111</v>
      </c>
      <c r="C14" s="45" t="n">
        <v>0.892</v>
      </c>
      <c r="D14" s="45" t="n">
        <v>0.895</v>
      </c>
      <c r="E14" s="45" t="n">
        <v>0.898</v>
      </c>
      <c r="F14" s="45" t="n">
        <v>0.901</v>
      </c>
      <c r="G14" s="45" t="n">
        <v>0.904</v>
      </c>
      <c r="H14" s="45" t="n">
        <v>0.907</v>
      </c>
      <c r="I14" s="46" t="n">
        <f aca="false">AVERAGE(C14:H14)</f>
        <v>0.8995</v>
      </c>
      <c r="J14" s="45" t="n">
        <v>0.9</v>
      </c>
      <c r="K14" s="47" t="n">
        <f aca="false">I14-J14</f>
        <v>-0.000499999999999945</v>
      </c>
    </row>
    <row r="15" customFormat="false" ht="15" hidden="false" customHeight="false" outlineLevel="0" collapsed="false">
      <c r="A15" s="33" t="s">
        <v>29</v>
      </c>
      <c r="B15" s="37" t="s">
        <v>111</v>
      </c>
      <c r="C15" s="42" t="n">
        <v>0.342</v>
      </c>
      <c r="D15" s="42" t="n">
        <v>0.338</v>
      </c>
      <c r="E15" s="42" t="n">
        <v>0.335</v>
      </c>
      <c r="F15" s="42" t="n">
        <v>0.331</v>
      </c>
      <c r="G15" s="42" t="n">
        <v>0.328</v>
      </c>
      <c r="H15" s="42" t="n">
        <v>0.324</v>
      </c>
      <c r="I15" s="43" t="n">
        <f aca="false">AVERAGE(C15:H15)</f>
        <v>0.333</v>
      </c>
      <c r="J15" s="42" t="n">
        <v>0.33</v>
      </c>
      <c r="K15" s="44" t="n">
        <f aca="false">I15-J15</f>
        <v>0.003</v>
      </c>
    </row>
    <row r="16" customFormat="false" ht="15" hidden="false" customHeight="false" outlineLevel="0" collapsed="false">
      <c r="A16" s="28" t="s">
        <v>122</v>
      </c>
      <c r="B16" s="29" t="s">
        <v>111</v>
      </c>
      <c r="C16" s="45" t="n">
        <v>0.284</v>
      </c>
      <c r="D16" s="45" t="n">
        <v>0.291</v>
      </c>
      <c r="E16" s="45" t="n">
        <v>0.298</v>
      </c>
      <c r="F16" s="45" t="n">
        <v>0.302</v>
      </c>
      <c r="G16" s="45" t="n">
        <v>0.308</v>
      </c>
      <c r="H16" s="45" t="n">
        <v>0.314</v>
      </c>
      <c r="I16" s="46" t="n">
        <f aca="false">AVERAGE(C16:H16)</f>
        <v>0.2995</v>
      </c>
      <c r="J16" s="45" t="n">
        <v>0.3</v>
      </c>
      <c r="K16" s="47" t="n">
        <f aca="false">I16-J16</f>
        <v>-0.0005</v>
      </c>
    </row>
    <row r="17" customFormat="false" ht="15" hidden="false" customHeight="false" outlineLevel="0" collapsed="false">
      <c r="A17" s="33" t="s">
        <v>123</v>
      </c>
      <c r="B17" s="37" t="s">
        <v>111</v>
      </c>
      <c r="C17" s="42" t="n">
        <v>0.978</v>
      </c>
      <c r="D17" s="42" t="n">
        <v>0.98</v>
      </c>
      <c r="E17" s="42" t="n">
        <v>0.981</v>
      </c>
      <c r="F17" s="42" t="n">
        <v>0.983</v>
      </c>
      <c r="G17" s="42" t="n">
        <v>0.984</v>
      </c>
      <c r="H17" s="42" t="n">
        <v>0.986</v>
      </c>
      <c r="I17" s="43" t="n">
        <f aca="false">AVERAGE(C17:H17)</f>
        <v>0.982</v>
      </c>
      <c r="J17" s="42" t="n">
        <v>0.985</v>
      </c>
      <c r="K17" s="44" t="n">
        <f aca="false">I17-J17</f>
        <v>-0.00299999999999989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5" min="3" style="0" width="18"/>
    <col collapsed="false" customWidth="true" hidden="false" outlineLevel="0" max="7" min="6" style="0" width="16"/>
  </cols>
  <sheetData>
    <row r="1" customFormat="false" ht="30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48" t="s">
        <v>125</v>
      </c>
      <c r="B2" s="48"/>
      <c r="C2" s="48"/>
      <c r="D2" s="48"/>
      <c r="E2" s="48"/>
      <c r="F2" s="48"/>
      <c r="G2" s="48"/>
      <c r="H2" s="48"/>
      <c r="I2" s="48"/>
      <c r="J2" s="48"/>
    </row>
    <row r="3" customFormat="false" ht="15" hidden="false" customHeight="false" outlineLevel="0" collapsed="false">
      <c r="A3" s="49" t="s">
        <v>126</v>
      </c>
      <c r="B3" s="49" t="s">
        <v>127</v>
      </c>
      <c r="C3" s="49" t="s">
        <v>128</v>
      </c>
      <c r="D3" s="49" t="s">
        <v>129</v>
      </c>
      <c r="E3" s="49" t="s">
        <v>130</v>
      </c>
      <c r="F3" s="49" t="s">
        <v>131</v>
      </c>
    </row>
    <row r="4" customFormat="false" ht="15" hidden="false" customHeight="false" outlineLevel="0" collapsed="false">
      <c r="A4" s="3" t="s">
        <v>132</v>
      </c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</row>
    <row r="5" customFormat="false" ht="15" hidden="false" customHeight="false" outlineLevel="0" collapsed="false">
      <c r="A5" s="50" t="s">
        <v>138</v>
      </c>
      <c r="B5" s="29" t="s">
        <v>139</v>
      </c>
      <c r="C5" s="29" t="s">
        <v>140</v>
      </c>
      <c r="D5" s="29" t="s">
        <v>141</v>
      </c>
      <c r="E5" s="29" t="s">
        <v>142</v>
      </c>
      <c r="F5" s="29" t="s">
        <v>143</v>
      </c>
    </row>
    <row r="6" customFormat="false" ht="15" hidden="false" customHeight="false" outlineLevel="0" collapsed="false">
      <c r="A6" s="3" t="s">
        <v>144</v>
      </c>
      <c r="B6" s="4" t="s">
        <v>145</v>
      </c>
      <c r="C6" s="4" t="s">
        <v>146</v>
      </c>
      <c r="D6" s="4" t="s">
        <v>147</v>
      </c>
      <c r="E6" s="4" t="s">
        <v>148</v>
      </c>
      <c r="F6" s="4" t="s">
        <v>149</v>
      </c>
    </row>
    <row r="7" customFormat="false" ht="15" hidden="false" customHeight="false" outlineLevel="0" collapsed="false">
      <c r="A7" s="50" t="s">
        <v>29</v>
      </c>
      <c r="B7" s="29" t="s">
        <v>150</v>
      </c>
      <c r="C7" s="29" t="s">
        <v>151</v>
      </c>
      <c r="D7" s="29" t="s">
        <v>152</v>
      </c>
      <c r="E7" s="29" t="s">
        <v>153</v>
      </c>
      <c r="F7" s="29" t="s">
        <v>154</v>
      </c>
    </row>
    <row r="8" customFormat="false" ht="15" hidden="false" customHeight="false" outlineLevel="0" collapsed="false">
      <c r="A8" s="3" t="s">
        <v>155</v>
      </c>
      <c r="B8" s="4" t="s">
        <v>156</v>
      </c>
      <c r="C8" s="4" t="s">
        <v>157</v>
      </c>
      <c r="D8" s="4" t="s">
        <v>158</v>
      </c>
      <c r="E8" s="4" t="s">
        <v>159</v>
      </c>
      <c r="F8" s="4" t="s">
        <v>160</v>
      </c>
    </row>
    <row r="9" customFormat="false" ht="15" hidden="false" customHeight="false" outlineLevel="0" collapsed="false">
      <c r="A9" s="50" t="s">
        <v>161</v>
      </c>
      <c r="B9" s="29" t="s">
        <v>162</v>
      </c>
      <c r="C9" s="29" t="s">
        <v>163</v>
      </c>
      <c r="D9" s="29" t="s">
        <v>163</v>
      </c>
      <c r="E9" s="29" t="s">
        <v>164</v>
      </c>
      <c r="F9" s="29" t="s">
        <v>165</v>
      </c>
    </row>
    <row r="10" customFormat="false" ht="15" hidden="false" customHeight="false" outlineLevel="0" collapsed="false">
      <c r="A10" s="3" t="s">
        <v>166</v>
      </c>
      <c r="B10" s="4" t="s">
        <v>157</v>
      </c>
      <c r="C10" s="4" t="s">
        <v>167</v>
      </c>
      <c r="D10" s="4" t="s">
        <v>168</v>
      </c>
      <c r="E10" s="4" t="s">
        <v>169</v>
      </c>
      <c r="F10" s="4" t="s">
        <v>170</v>
      </c>
    </row>
    <row r="12" customFormat="false" ht="15" hidden="false" customHeight="true" outlineLevel="0" collapsed="false">
      <c r="A12" s="48" t="s">
        <v>171</v>
      </c>
      <c r="B12" s="48"/>
      <c r="C12" s="48"/>
      <c r="D12" s="48"/>
      <c r="E12" s="48"/>
      <c r="F12" s="48"/>
      <c r="G12" s="48"/>
      <c r="H12" s="48"/>
      <c r="I12" s="48"/>
      <c r="J12" s="48"/>
    </row>
    <row r="13" customFormat="false" ht="26.85" hidden="false" customHeight="false" outlineLevel="0" collapsed="false">
      <c r="A13" s="49" t="s">
        <v>172</v>
      </c>
      <c r="B13" s="49" t="s">
        <v>173</v>
      </c>
      <c r="C13" s="49" t="s">
        <v>174</v>
      </c>
      <c r="D13" s="49" t="s">
        <v>175</v>
      </c>
      <c r="E13" s="49" t="s">
        <v>176</v>
      </c>
      <c r="F13" s="49" t="s">
        <v>177</v>
      </c>
      <c r="G13" s="49" t="s">
        <v>178</v>
      </c>
    </row>
    <row r="14" customFormat="false" ht="15" hidden="false" customHeight="false" outlineLevel="0" collapsed="false">
      <c r="A14" s="33" t="s">
        <v>12</v>
      </c>
      <c r="B14" s="35" t="n">
        <v>38200</v>
      </c>
      <c r="C14" s="35" t="n">
        <v>45840</v>
      </c>
      <c r="D14" s="35" t="n">
        <v>51500</v>
      </c>
      <c r="E14" s="35" t="n">
        <v>40100</v>
      </c>
      <c r="F14" s="44" t="n">
        <f aca="false">C14/B14-1</f>
        <v>0.2</v>
      </c>
      <c r="G14" s="15" t="s">
        <v>179</v>
      </c>
    </row>
    <row r="15" customFormat="false" ht="15" hidden="false" customHeight="false" outlineLevel="0" collapsed="false">
      <c r="A15" s="28" t="s">
        <v>180</v>
      </c>
      <c r="B15" s="30" t="n">
        <v>20100</v>
      </c>
      <c r="C15" s="30" t="n">
        <v>24120</v>
      </c>
      <c r="D15" s="30" t="n">
        <v>27200</v>
      </c>
      <c r="E15" s="30" t="n">
        <v>21000</v>
      </c>
      <c r="F15" s="47" t="n">
        <f aca="false">C15/B15-1</f>
        <v>0.2</v>
      </c>
      <c r="G15" s="15" t="s">
        <v>179</v>
      </c>
    </row>
    <row r="16" customFormat="false" ht="15" hidden="false" customHeight="false" outlineLevel="0" collapsed="false">
      <c r="A16" s="33" t="s">
        <v>181</v>
      </c>
      <c r="B16" s="35" t="n">
        <v>13300</v>
      </c>
      <c r="C16" s="35" t="n">
        <v>15130</v>
      </c>
      <c r="D16" s="35" t="n">
        <v>15965</v>
      </c>
      <c r="E16" s="35" t="n">
        <v>14436</v>
      </c>
      <c r="F16" s="44" t="n">
        <f aca="false">C16/B16-1</f>
        <v>0.137593984962406</v>
      </c>
      <c r="G16" s="21" t="s">
        <v>182</v>
      </c>
    </row>
    <row r="17" customFormat="false" ht="15" hidden="false" customHeight="false" outlineLevel="0" collapsed="false">
      <c r="A17" s="28" t="s">
        <v>19</v>
      </c>
      <c r="B17" s="30" t="n">
        <v>24900</v>
      </c>
      <c r="C17" s="30" t="n">
        <v>30710</v>
      </c>
      <c r="D17" s="30" t="n">
        <v>35535</v>
      </c>
      <c r="E17" s="30" t="n">
        <v>25664</v>
      </c>
      <c r="F17" s="47" t="n">
        <f aca="false">C17/B17-1</f>
        <v>0.233333333333333</v>
      </c>
      <c r="G17" s="21" t="s">
        <v>182</v>
      </c>
    </row>
    <row r="18" customFormat="false" ht="15" hidden="false" customHeight="false" outlineLevel="0" collapsed="false">
      <c r="A18" s="33" t="s">
        <v>16</v>
      </c>
      <c r="B18" s="35" t="n">
        <v>2800</v>
      </c>
      <c r="C18" s="35" t="n">
        <v>3100</v>
      </c>
      <c r="D18" s="35" t="n">
        <v>2500</v>
      </c>
      <c r="E18" s="35" t="n">
        <v>3600</v>
      </c>
      <c r="F18" s="44" t="n">
        <f aca="false">C18/B18-1</f>
        <v>0.107142857142857</v>
      </c>
      <c r="G18" s="11" t="s">
        <v>183</v>
      </c>
    </row>
    <row r="19" customFormat="false" ht="15" hidden="false" customHeight="false" outlineLevel="0" collapsed="false">
      <c r="A19" s="28" t="s">
        <v>184</v>
      </c>
      <c r="B19" s="30" t="n">
        <v>8900</v>
      </c>
      <c r="C19" s="30" t="n">
        <v>11380</v>
      </c>
      <c r="D19" s="30" t="n">
        <v>13850</v>
      </c>
      <c r="E19" s="30" t="n">
        <v>8900</v>
      </c>
      <c r="F19" s="47" t="n">
        <f aca="false">C19/B19-1</f>
        <v>0.278651685393258</v>
      </c>
      <c r="G19" s="21" t="s">
        <v>182</v>
      </c>
    </row>
    <row r="20" customFormat="false" ht="15" hidden="false" customHeight="false" outlineLevel="0" collapsed="false">
      <c r="A20" s="33" t="s">
        <v>24</v>
      </c>
      <c r="B20" s="35" t="n">
        <v>6650</v>
      </c>
      <c r="C20" s="35" t="n">
        <v>8535</v>
      </c>
      <c r="D20" s="35" t="n">
        <v>10388</v>
      </c>
      <c r="E20" s="35" t="n">
        <v>6653</v>
      </c>
      <c r="F20" s="44" t="n">
        <f aca="false">C20/B20-1</f>
        <v>0.283458646616541</v>
      </c>
      <c r="G20" s="21" t="s">
        <v>182</v>
      </c>
    </row>
    <row r="21" customFormat="false" ht="15" hidden="false" customHeight="false" outlineLevel="0" collapsed="false">
      <c r="A21" s="28" t="s">
        <v>25</v>
      </c>
      <c r="B21" s="51" t="s">
        <v>185</v>
      </c>
      <c r="C21" s="51" t="s">
        <v>186</v>
      </c>
      <c r="D21" s="51" t="s">
        <v>187</v>
      </c>
      <c r="E21" s="51" t="s">
        <v>188</v>
      </c>
      <c r="F21" s="47" t="s">
        <v>189</v>
      </c>
      <c r="G21" s="29" t="s">
        <v>189</v>
      </c>
    </row>
    <row r="22" customFormat="false" ht="15" hidden="false" customHeight="false" outlineLevel="0" collapsed="false">
      <c r="A22" s="33" t="s">
        <v>190</v>
      </c>
      <c r="B22" s="35" t="n">
        <v>110.5</v>
      </c>
      <c r="C22" s="35" t="n">
        <v>141.8</v>
      </c>
      <c r="D22" s="35" t="n">
        <v>172.6</v>
      </c>
      <c r="E22" s="35" t="n">
        <v>110.6</v>
      </c>
      <c r="F22" s="44" t="n">
        <f aca="false">C22/B22-1</f>
        <v>0.283257918552036</v>
      </c>
      <c r="G22" s="21" t="s">
        <v>182</v>
      </c>
    </row>
    <row r="23" customFormat="false" ht="15" hidden="false" customHeight="false" outlineLevel="0" collapsed="false">
      <c r="A23" s="28" t="s">
        <v>191</v>
      </c>
      <c r="B23" s="30" t="n">
        <v>195000</v>
      </c>
      <c r="C23" s="30" t="n">
        <v>253500</v>
      </c>
      <c r="D23" s="30" t="n">
        <v>263250</v>
      </c>
      <c r="E23" s="30" t="n">
        <v>237900</v>
      </c>
      <c r="F23" s="47" t="n">
        <f aca="false">C23/B23-1</f>
        <v>0.3</v>
      </c>
      <c r="G23" s="15" t="s">
        <v>179</v>
      </c>
    </row>
  </sheetData>
  <mergeCells count="3">
    <mergeCell ref="A1:J1"/>
    <mergeCell ref="A2:J2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2026-06-01T16:13:43Z</dcterms:created>
  <dc:creator>openpyxl</dc:creator>
  <dc:description/>
  <dc:language>en-US</dc:language>
  <cp:lastModifiedBy/>
  <dcterms:modified xsi:type="dcterms:W3CDTF">2026-06-01T16:13:43Z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